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贝叶斯先验参数试算明细" sheetId="1" state="visible" r:id="rId1"/>
    <sheet name="截图说明(与页面状态一致)" sheetId="2" state="visible" r:id="rId2"/>
    <sheet name="数据字典与处理状态" sheetId="3" state="visible" r:id="rId3"/>
  </sheets>
  <definedNames>
    <definedName name="_xlnm._FilterDatabase" localSheetId="0" hidden="1">'贝叶斯先验参数试算明细'!$A$1:$V$4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56404"/>
    </font>
    <font>
      <b val="1"/>
      <color rgb="002E5C8A"/>
      <sz val="14"/>
    </font>
    <font>
      <b val="1"/>
    </font>
    <font>
      <b val="1"/>
      <color rgb="002E5C8A"/>
    </font>
  </fonts>
  <fills count="4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8" customWidth="1" min="14" max="14"/>
    <col width="12" customWidth="1" min="15" max="15"/>
    <col width="30" customWidth="1" min="16" max="16"/>
    <col width="14" customWidth="1" min="17" max="17"/>
    <col width="20" customWidth="1" min="18" max="18"/>
    <col width="10" customWidth="1" min="19" max="19"/>
    <col width="18" customWidth="1" min="20" max="20"/>
    <col width="18" customWidth="1" min="21" max="21"/>
    <col width="24" customWidth="1" min="22" max="22"/>
  </cols>
  <sheetData>
    <row r="1">
      <c r="A1" s="1" t="inlineStr">
        <is>
          <t>试算编号</t>
        </is>
      </c>
      <c r="B1" s="1" t="inlineStr">
        <is>
          <t>项目名称</t>
        </is>
      </c>
      <c r="C1" s="1" t="inlineStr">
        <is>
          <t>参数名称</t>
        </is>
      </c>
      <c r="D1" s="1" t="inlineStr">
        <is>
          <t>状态</t>
        </is>
      </c>
      <c r="E1" s="1" t="inlineStr">
        <is>
          <t>先验α</t>
        </is>
      </c>
      <c r="F1" s="1" t="inlineStr">
        <is>
          <t>先验β</t>
        </is>
      </c>
      <c r="G1" s="1" t="inlineStr">
        <is>
          <t>先验均值</t>
        </is>
      </c>
      <c r="H1" s="1" t="inlineStr">
        <is>
          <t>样本成功</t>
        </is>
      </c>
      <c r="I1" s="1" t="inlineStr">
        <is>
          <t>样本总数</t>
        </is>
      </c>
      <c r="J1" s="1" t="inlineStr">
        <is>
          <t>样本失败</t>
        </is>
      </c>
      <c r="K1" s="1" t="inlineStr">
        <is>
          <t>后验α'</t>
        </is>
      </c>
      <c r="L1" s="1" t="inlineStr">
        <is>
          <t>后验β'</t>
        </is>
      </c>
      <c r="M1" s="1" t="inlineStr">
        <is>
          <t>后验均值</t>
        </is>
      </c>
      <c r="N1" s="1" t="inlineStr">
        <is>
          <t>权重</t>
        </is>
      </c>
      <c r="O1" s="1" t="inlineStr">
        <is>
          <t>是否重复样本</t>
        </is>
      </c>
      <c r="P1" s="1" t="inlineStr">
        <is>
          <t>重复判定理由</t>
        </is>
      </c>
      <c r="Q1" s="1" t="inlineStr">
        <is>
          <t>来源批次</t>
        </is>
      </c>
      <c r="R1" s="1" t="inlineStr">
        <is>
          <t>来源文件</t>
        </is>
      </c>
      <c r="S1" s="1" t="inlineStr">
        <is>
          <t>上传人</t>
        </is>
      </c>
      <c r="T1" s="1" t="inlineStr">
        <is>
          <t>创建时间</t>
        </is>
      </c>
      <c r="U1" s="1" t="inlineStr">
        <is>
          <t>更新时间</t>
        </is>
      </c>
      <c r="V1" s="1" t="inlineStr">
        <is>
          <t>说明</t>
        </is>
      </c>
    </row>
    <row r="2">
      <c r="A2" s="2" t="inlineStr">
        <is>
          <t>BYS-20260614-E3B0</t>
        </is>
      </c>
      <c r="B2" s="2" t="inlineStr">
        <is>
          <t>A系列消费贷模型</t>
        </is>
      </c>
      <c r="C2" s="2" t="inlineStr">
        <is>
          <t>首期违约率先验</t>
        </is>
      </c>
      <c r="D2" s="2" t="inlineStr">
        <is>
          <t>草稿</t>
        </is>
      </c>
      <c r="E2" s="2" t="n">
        <v>6.86</v>
      </c>
      <c r="F2" s="2" t="n">
        <v>18.98</v>
      </c>
      <c r="G2" s="2" t="n">
        <v>0.26548</v>
      </c>
      <c r="H2" s="2" t="n">
        <v>52</v>
      </c>
      <c r="I2" s="2" t="n">
        <v>113</v>
      </c>
      <c r="J2" s="2" t="n">
        <v>61</v>
      </c>
      <c r="K2" s="2" t="n">
        <v>58.86</v>
      </c>
      <c r="L2" s="2" t="n">
        <v>79.98</v>
      </c>
      <c r="M2" s="2" t="n">
        <v>0.423941</v>
      </c>
      <c r="N2" s="2" t="n">
        <v>1.98</v>
      </c>
      <c r="O2" s="3" t="inlineStr">
        <is>
          <t>重复样本</t>
        </is>
      </c>
      <c r="P2" s="2" t="inlineStr">
        <is>
          <t>与BYS-20260614-275E项目参数完全一致：α=6.86, β=18.98, 成功=52, 总数=113</t>
        </is>
      </c>
      <c r="Q2" s="2" t="inlineStr"/>
      <c r="R2" s="2" t="inlineStr">
        <is>
          <t>重复导入_误操作.xlsx</t>
        </is>
      </c>
      <c r="S2" s="2" t="inlineStr"/>
      <c r="T2" s="2" t="inlineStr">
        <is>
          <t>2026-06-14 04:08:16</t>
        </is>
      </c>
      <c r="U2" s="2" t="inlineStr">
        <is>
          <t>2026-06-14 04:08:16</t>
        </is>
      </c>
      <c r="V2" s="2" t="inlineStr"/>
    </row>
    <row r="3">
      <c r="A3" s="4" t="inlineStr">
        <is>
          <t>BYS-20260614-4B57</t>
        </is>
      </c>
      <c r="B3" s="4" t="inlineStr">
        <is>
          <t>B系列小微企业评分</t>
        </is>
      </c>
      <c r="C3" s="4" t="inlineStr">
        <is>
          <t>赔付率先验</t>
        </is>
      </c>
      <c r="D3" s="4" t="inlineStr">
        <is>
          <t>草稿</t>
        </is>
      </c>
      <c r="E3" s="4" t="n">
        <v>6</v>
      </c>
      <c r="F3" s="4" t="n">
        <v>41.75</v>
      </c>
      <c r="G3" s="4" t="n">
        <v>0.125654</v>
      </c>
      <c r="H3" s="4" t="n">
        <v>188</v>
      </c>
      <c r="I3" s="4" t="n">
        <v>241</v>
      </c>
      <c r="J3" s="4" t="n">
        <v>53</v>
      </c>
      <c r="K3" s="4" t="n">
        <v>194</v>
      </c>
      <c r="L3" s="4" t="n">
        <v>94.75</v>
      </c>
      <c r="M3" s="4" t="n">
        <v>0.671861</v>
      </c>
      <c r="N3" s="4" t="n">
        <v>0.84</v>
      </c>
      <c r="O3" s="4" t="inlineStr"/>
      <c r="P3" s="4" t="inlineStr"/>
      <c r="Q3" s="4" t="inlineStr">
        <is>
          <t>BATCH-2026-002</t>
        </is>
      </c>
      <c r="R3" s="4" t="inlineStr">
        <is>
          <t>演示数据_batch2.xlsx</t>
        </is>
      </c>
      <c r="S3" s="4" t="inlineStr">
        <is>
          <t>数据组小陈</t>
        </is>
      </c>
      <c r="T3" s="4" t="inlineStr">
        <is>
          <t>2026-06-14 04:08:16</t>
        </is>
      </c>
      <c r="U3" s="4" t="inlineStr">
        <is>
          <t>2026-06-14 04:08:16</t>
        </is>
      </c>
      <c r="V3" s="4" t="inlineStr">
        <is>
          <t>演示数据-8</t>
        </is>
      </c>
    </row>
    <row r="4">
      <c r="A4" s="4" t="inlineStr">
        <is>
          <t>BYS-20260614-204D</t>
        </is>
      </c>
      <c r="B4" s="4" t="inlineStr">
        <is>
          <t>A系列消费贷模型</t>
        </is>
      </c>
      <c r="C4" s="4" t="inlineStr">
        <is>
          <t>报案频率先验</t>
        </is>
      </c>
      <c r="D4" s="4" t="inlineStr">
        <is>
          <t>草稿</t>
        </is>
      </c>
      <c r="E4" s="4" t="n">
        <v>8.73</v>
      </c>
      <c r="F4" s="4" t="n">
        <v>78.56999999999999</v>
      </c>
      <c r="G4" s="4" t="n">
        <v>0.1</v>
      </c>
      <c r="H4" s="4" t="n">
        <v>120</v>
      </c>
      <c r="I4" s="4" t="n">
        <v>944</v>
      </c>
      <c r="J4" s="4" t="n">
        <v>824</v>
      </c>
      <c r="K4" s="4" t="n">
        <v>128.73</v>
      </c>
      <c r="L4" s="4" t="n">
        <v>902.5700000000001</v>
      </c>
      <c r="M4" s="4" t="n">
        <v>0.124823</v>
      </c>
      <c r="N4" s="4" t="n">
        <v>0.82</v>
      </c>
      <c r="O4" s="4" t="inlineStr"/>
      <c r="P4" s="4" t="inlineStr"/>
      <c r="Q4" s="4" t="inlineStr">
        <is>
          <t>BATCH-2026-001</t>
        </is>
      </c>
      <c r="R4" s="4" t="inlineStr">
        <is>
          <t>演示数据_batch1.xlsx</t>
        </is>
      </c>
      <c r="S4" s="4" t="inlineStr">
        <is>
          <t>项目经理B</t>
        </is>
      </c>
      <c r="T4" s="4" t="inlineStr">
        <is>
          <t>2026-06-14 04:08:16</t>
        </is>
      </c>
      <c r="U4" s="4" t="inlineStr">
        <is>
          <t>2026-06-14 04:08:16</t>
        </is>
      </c>
      <c r="V4" s="4" t="inlineStr">
        <is>
          <t>演示数据-7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30" customHeight="1">
      <c r="A1" s="5" t="inlineStr">
        <is>
          <t>贝叶斯先验参数试算 · 截图说明（本页文字与接口状态字段保持一致）</t>
        </is>
      </c>
    </row>
    <row r="2">
      <c r="A2" s="6" t="inlineStr">
        <is>
          <t>导出时间</t>
        </is>
      </c>
      <c r="B2" t="inlineStr">
        <is>
          <t>2026-06-14 04:24:07 UTC</t>
        </is>
      </c>
    </row>
    <row r="3">
      <c r="A3" s="6" t="inlineStr">
        <is>
          <t>导出条数</t>
        </is>
      </c>
      <c r="B3" t="n">
        <v>3</v>
      </c>
    </row>
    <row r="4">
      <c r="A4" s="6" t="inlineStr">
        <is>
          <t>包含重复样本数</t>
        </is>
      </c>
      <c r="B4" t="n">
        <v>1</v>
      </c>
    </row>
    <row r="6">
      <c r="A6" s="6" t="inlineStr">
        <is>
          <t>状态码说明（与接口/status字段同源）</t>
        </is>
      </c>
    </row>
    <row r="7">
      <c r="A7" t="inlineStr">
        <is>
          <t>draft</t>
        </is>
      </c>
      <c r="B7" t="inlineStr">
        <is>
          <t>草稿</t>
        </is>
      </c>
      <c r="C7" t="inlineStr">
        <is>
          <t>当前处于草稿阶段，参数未经过审核确认，仅供参考</t>
        </is>
      </c>
    </row>
    <row r="8">
      <c r="A8" t="inlineStr">
        <is>
          <t>pending</t>
        </is>
      </c>
      <c r="B8" t="inlineStr">
        <is>
          <t>待审核</t>
        </is>
      </c>
      <c r="C8" t="inlineStr">
        <is>
          <t>当前待审核，参数已提交项目经理审核，最终结果以审核通过为准</t>
        </is>
      </c>
    </row>
    <row r="9">
      <c r="A9" t="inlineStr">
        <is>
          <t>approved</t>
        </is>
      </c>
      <c r="B9" t="inlineStr">
        <is>
          <t>已确认</t>
        </is>
      </c>
      <c r="C9" t="inlineStr">
        <is>
          <t>参数已审核确认，用于正式分析与报告输出</t>
        </is>
      </c>
    </row>
    <row r="10">
      <c r="A10" t="inlineStr">
        <is>
          <t>rejected</t>
        </is>
      </c>
      <c r="B10" t="inlineStr">
        <is>
          <t>已驳回</t>
        </is>
      </c>
      <c r="C10" t="inlineStr">
        <is>
          <t>参数已驳回，请根据驳回意见调整后重新提交</t>
        </is>
      </c>
    </row>
    <row r="11">
      <c r="A11" t="inlineStr">
        <is>
          <t>exported</t>
        </is>
      </c>
      <c r="B11" t="inlineStr">
        <is>
          <t>已导出</t>
        </is>
      </c>
      <c r="C11" t="inlineStr">
        <is>
          <t>参数已导出归档，如需调整请创建新版本</t>
        </is>
      </c>
    </row>
    <row r="13">
      <c r="A13" s="6" t="inlineStr">
        <is>
          <t>单条截图说明（每条对应接口detail的文字，可直接贴到PPT/邮件）</t>
        </is>
      </c>
    </row>
    <row r="14" ht="90" customHeight="1">
      <c r="A14" s="6" t="inlineStr">
        <is>
          <t>BYS-20260614-E3B0</t>
        </is>
      </c>
      <c r="B14" s="7">
        <f>== BYS-20260614-E3B0 / A系列消费贷模型-首期违约率先验 ===
当前状态：【草稿】当前处于草稿阶段，参数未经过审核确认，仅供参考
⚠️  重复样本：与BYS-20260614-275E项目参数完全一致：α=6.86, β=18.98, 成功=52, 总数=113
先验 α=6.86, β=18.98；样本 成功/总数=52/113；权重=1.98
后验 α'=58.86, β'=79.98；后验均值=0.423941
数据来源：文件=重复导入_误操作.xlsx</f>
        <v/>
      </c>
    </row>
    <row r="15" ht="90" customHeight="1">
      <c r="A15" s="6" t="inlineStr">
        <is>
          <t>BYS-20260614-4B57</t>
        </is>
      </c>
      <c r="B15" s="7">
        <f>== BYS-20260614-4B57 / B系列小微企业评分-赔付率先验 ===
当前状态：【草稿】当前处于草稿阶段，参数未经过审核确认，仅供参考
先验 α=6.0, β=41.75；样本 成功/总数=188/241；权重=0.84
后验 α'=194.0, β'=94.75；后验均值=0.671861
数据来源：批次=BATCH-2026-002｜文件=演示数据_batch2.xlsx</f>
        <v/>
      </c>
    </row>
    <row r="16" ht="90" customHeight="1">
      <c r="A16" s="6" t="inlineStr">
        <is>
          <t>BYS-20260614-204D</t>
        </is>
      </c>
      <c r="B16" s="7">
        <f>== BYS-20260614-204D / A系列消费贷模型-报案频率先验 ===
当前状态：【草稿】当前处于草稿阶段，参数未经过审核确认，仅供参考
先验 α=8.73, β=78.57；样本 成功/总数=120/944；权重=0.82
后验 α'=128.73, β'=902.57；后验均值=0.124823
数据来源：批次=BATCH-2026-001｜文件=演示数据_batch1.xlsx</f>
        <v/>
      </c>
    </row>
  </sheetData>
  <mergeCells count="4">
    <mergeCell ref="B16:F16"/>
    <mergeCell ref="B15:F15"/>
    <mergeCell ref="A1:F1"/>
    <mergeCell ref="B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1" t="inlineStr">
        <is>
          <t>标准字段名</t>
        </is>
      </c>
      <c r="B1" s="1" t="inlineStr">
        <is>
          <t>字段说明</t>
        </is>
      </c>
      <c r="C1" s="1" t="inlineStr">
        <is>
          <t>可能的原始字段名举例</t>
        </is>
      </c>
    </row>
    <row r="2">
      <c r="A2" s="4" t="inlineStr">
        <is>
          <t>trial_no</t>
        </is>
      </c>
      <c r="B2" s="4" t="inlineStr">
        <is>
          <t>试算编号（系统生成，唯一）</t>
        </is>
      </c>
      <c r="C2" s="4" t="inlineStr">
        <is>
          <t>编号,序号,ID,No,BYS编号</t>
        </is>
      </c>
    </row>
    <row r="3">
      <c r="A3" s="4" t="inlineStr">
        <is>
          <t>project_name</t>
        </is>
      </c>
      <c r="B3" s="4" t="inlineStr">
        <is>
          <t>项目名称</t>
        </is>
      </c>
      <c r="C3" s="4" t="inlineStr">
        <is>
          <t>项目,项目名,project,所属项目</t>
        </is>
      </c>
    </row>
    <row r="4">
      <c r="A4" s="4" t="inlineStr">
        <is>
          <t>parameter_name</t>
        </is>
      </c>
      <c r="B4" s="4" t="inlineStr">
        <is>
          <t>参数名称</t>
        </is>
      </c>
      <c r="C4" s="4" t="inlineStr">
        <is>
          <t>参数,参数名,指标,parameter,prior参数</t>
        </is>
      </c>
    </row>
    <row r="5">
      <c r="A5" s="4" t="inlineStr">
        <is>
          <t>prior_alpha</t>
        </is>
      </c>
      <c r="B5" s="4" t="inlineStr">
        <is>
          <t>先验α（Beta分布形状参数1）</t>
        </is>
      </c>
      <c r="C5" s="4" t="inlineStr">
        <is>
          <t>α,alpha,先验α,形状参数1,a,prior_a</t>
        </is>
      </c>
    </row>
    <row r="6">
      <c r="A6" s="4" t="inlineStr">
        <is>
          <t>prior_beta</t>
        </is>
      </c>
      <c r="B6" s="4" t="inlineStr">
        <is>
          <t>先验β（Beta分布形状参数2）</t>
        </is>
      </c>
      <c r="C6" s="4" t="inlineStr">
        <is>
          <t>β,beta,先验β,形状参数2,b,prior_b</t>
        </is>
      </c>
    </row>
    <row r="7">
      <c r="A7" s="4" t="inlineStr">
        <is>
          <t>sample_success</t>
        </is>
      </c>
      <c r="B7" s="4" t="inlineStr">
        <is>
          <t>样本成功数</t>
        </is>
      </c>
      <c r="C7" s="4" t="inlineStr">
        <is>
          <t>成功数,命中,阳性,s,成功</t>
        </is>
      </c>
    </row>
    <row r="8">
      <c r="A8" s="4" t="inlineStr">
        <is>
          <t>sample_total</t>
        </is>
      </c>
      <c r="B8" s="4" t="inlineStr">
        <is>
          <t>样本总数</t>
        </is>
      </c>
      <c r="C8" s="4" t="inlineStr">
        <is>
          <t>总数,n,样本量,总量,样本数</t>
        </is>
      </c>
    </row>
    <row r="9">
      <c r="A9" s="4" t="inlineStr">
        <is>
          <t>weight</t>
        </is>
      </c>
      <c r="B9" s="4" t="inlineStr">
        <is>
          <t>权重</t>
        </is>
      </c>
      <c r="C9" s="4" t="inlineStr">
        <is>
          <t>权重,w,重要性,weight</t>
        </is>
      </c>
    </row>
    <row r="10">
      <c r="A10" s="4" t="inlineStr">
        <is>
          <t>status</t>
        </is>
      </c>
      <c r="B10" s="4" t="inlineStr">
        <is>
          <t>状态码</t>
        </is>
      </c>
      <c r="C10" s="4" t="inlineStr">
        <is>
          <t>状态,审核状态,status,state</t>
        </is>
      </c>
    </row>
    <row r="11">
      <c r="A11" s="4" t="inlineStr">
        <is>
          <t>is_duplicate</t>
        </is>
      </c>
      <c r="B11" s="4" t="inlineStr">
        <is>
          <t>是否重复样本</t>
        </is>
      </c>
      <c r="C11" s="4" t="inlineStr">
        <is>
          <t>重复,重复标记,duplicate,是否重复</t>
        </is>
      </c>
    </row>
    <row r="12">
      <c r="A12" s="4" t="inlineStr">
        <is>
          <t>source_batch_no</t>
        </is>
      </c>
      <c r="B12" s="4" t="inlineStr">
        <is>
          <t>来源批次号</t>
        </is>
      </c>
      <c r="C12" s="4" t="inlineStr">
        <is>
          <t>批次号,批次,导入批次,batch_no</t>
        </is>
      </c>
    </row>
    <row r="13">
      <c r="A13" s="4" t="inlineStr">
        <is>
          <t>source_filename</t>
        </is>
      </c>
      <c r="B13" s="4" t="inlineStr">
        <is>
          <t>来源文件名</t>
        </is>
      </c>
      <c r="C13" s="4" t="inlineStr">
        <is>
          <t>文件名,文件,来源文件,import_file</t>
        </is>
      </c>
    </row>
    <row r="15">
      <c r="A15" s="8" t="inlineStr">
        <is>
          <t>历史答案处理状态码</t>
        </is>
      </c>
    </row>
    <row r="16">
      <c r="A16" t="inlineStr">
        <is>
          <t>pending</t>
        </is>
      </c>
      <c r="B16" t="inlineStr">
        <is>
          <t>待处理</t>
        </is>
      </c>
    </row>
    <row r="17">
      <c r="A17" t="inlineStr">
        <is>
          <t>mapped</t>
        </is>
      </c>
      <c r="B17" t="inlineStr">
        <is>
          <t>已映射</t>
        </is>
      </c>
    </row>
    <row r="18">
      <c r="A18" t="inlineStr">
        <is>
          <t>adopted</t>
        </is>
      </c>
      <c r="B18" t="inlineStr">
        <is>
          <t>已采用</t>
        </is>
      </c>
    </row>
    <row r="19">
      <c r="A19" t="inlineStr">
        <is>
          <t>ignored</t>
        </is>
      </c>
      <c r="B19" t="inlineStr">
        <is>
          <t>已忽略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2026-06-14T04:24:07Z</dcterms:created>
  <dcterms:modified xsi:type="dcterms:W3CDTF">2026-06-14T04:24:07Z</dcterms:modified>
</cp:coreProperties>
</file>